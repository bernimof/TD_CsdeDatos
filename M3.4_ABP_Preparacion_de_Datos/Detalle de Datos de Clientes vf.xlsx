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afef5c76781eab/Talento Digital/2025-10 Octubre - Ciencia de Datos/Aula Digital/3 Obtención y preparación de datos/💼Proyecto Módulo ^N3 _ABP/"/>
    </mc:Choice>
  </mc:AlternateContent>
  <xr:revisionPtr revIDLastSave="139" documentId="13_ncr:1_{2B93B504-B8D8-C243-B92E-8EDFD80507DE}" xr6:coauthVersionLast="47" xr6:coauthVersionMax="47" xr10:uidLastSave="{D821D110-D6F7-2544-B2E1-B45DC8281D67}"/>
  <bookViews>
    <workbookView xWindow="7140" yWindow="1780" windowWidth="18620" windowHeight="14220" xr2:uid="{8F1A97FB-533C-604F-BDD7-4E6473D77E11}"/>
  </bookViews>
  <sheets>
    <sheet name="Datos" sheetId="1" r:id="rId1"/>
    <sheet name="Tabla Dinámica" sheetId="5" r:id="rId2"/>
    <sheet name="Comuna por Sector" sheetId="4" r:id="rId3"/>
  </sheets>
  <definedNames>
    <definedName name="_xlnm._FilterDatabase" localSheetId="2" hidden="1">'Comuna por Sector'!$A$1:$E$53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<sst xmlns="http://schemas.openxmlformats.org/spreadsheetml/2006/main" count="293" uniqueCount="122">
  <si>
    <t>id</t>
  </si>
  <si>
    <t>Nombre</t>
  </si>
  <si>
    <t>Estrella Sevilla</t>
  </si>
  <si>
    <t>Brigida Guijarro</t>
  </si>
  <si>
    <t>Julia Andres</t>
  </si>
  <si>
    <t>Marwa Zheng</t>
  </si>
  <si>
    <t>Valentin Burgos</t>
  </si>
  <si>
    <t>Rachid Palomares</t>
  </si>
  <si>
    <t>Eduard Molinero</t>
  </si>
  <si>
    <t>Azucena Cantero</t>
  </si>
  <si>
    <t>Mateo Beltran</t>
  </si>
  <si>
    <t>Patricio Leiva</t>
  </si>
  <si>
    <t>Iluminada Villar</t>
  </si>
  <si>
    <t>Alfonso Muñiz</t>
  </si>
  <si>
    <t>Matilde de Leon</t>
  </si>
  <si>
    <t>Francisca Ballester</t>
  </si>
  <si>
    <t>Florin Conesa</t>
  </si>
  <si>
    <t>Erika de Castro</t>
  </si>
  <si>
    <t>Emilia Sepulveda</t>
  </si>
  <si>
    <t>Inocencia Manrique</t>
  </si>
  <si>
    <t>Visitacion Urbano</t>
  </si>
  <si>
    <t>Braulio de Diego</t>
  </si>
  <si>
    <t>Arantxa Cubero</t>
  </si>
  <si>
    <t>Aroa Ferreira</t>
  </si>
  <si>
    <t>Catalina Elvira</t>
  </si>
  <si>
    <t>Joaquim Chaves</t>
  </si>
  <si>
    <t>Toni Bello</t>
  </si>
  <si>
    <t>Elia Yañez</t>
  </si>
  <si>
    <t>Julio Almagro</t>
  </si>
  <si>
    <t>Dani Sobrino</t>
  </si>
  <si>
    <t>Roberto Espada</t>
  </si>
  <si>
    <t>Carmen Llamas</t>
  </si>
  <si>
    <t>Fuensanta Mora</t>
  </si>
  <si>
    <t>Felicitas Tapia</t>
  </si>
  <si>
    <t>Alex Flores</t>
  </si>
  <si>
    <t>Ane Buendia</t>
  </si>
  <si>
    <t>Desiree Ferrero</t>
  </si>
  <si>
    <t>Justo Bermudez</t>
  </si>
  <si>
    <t>Benito Rodrguez</t>
  </si>
  <si>
    <t>Teo Salas</t>
  </si>
  <si>
    <t>Emilio Chaparro</t>
  </si>
  <si>
    <t>Ana Gimeno</t>
  </si>
  <si>
    <t>Samira Guirado</t>
  </si>
  <si>
    <t>Paula del Pozo</t>
  </si>
  <si>
    <t>Dario Muñoz</t>
  </si>
  <si>
    <t>Obdulia Mariscal</t>
  </si>
  <si>
    <t>Naira Salvador</t>
  </si>
  <si>
    <t>Serafin Abad</t>
  </si>
  <si>
    <t>Delfina Coronado</t>
  </si>
  <si>
    <t>Ruth Alvaro</t>
  </si>
  <si>
    <t>Comuna</t>
  </si>
  <si>
    <t>Cerrillos</t>
  </si>
  <si>
    <t>La Reina</t>
  </si>
  <si>
    <t>Pudahuel</t>
  </si>
  <si>
    <t>Cerro Navia</t>
  </si>
  <si>
    <t>Las Condes</t>
  </si>
  <si>
    <t>Quilicura</t>
  </si>
  <si>
    <t>Conchalí</t>
  </si>
  <si>
    <t>Lo Barnechea</t>
  </si>
  <si>
    <t>Quinta Normal</t>
  </si>
  <si>
    <t>El Bosque</t>
  </si>
  <si>
    <t>Lo Espejo</t>
  </si>
  <si>
    <t>Recoleta</t>
  </si>
  <si>
    <t>Estación Central</t>
  </si>
  <si>
    <t>Lo Prado</t>
  </si>
  <si>
    <t>Renca</t>
  </si>
  <si>
    <t>Huechuraba</t>
  </si>
  <si>
    <t>Macul</t>
  </si>
  <si>
    <t>San Miguel</t>
  </si>
  <si>
    <t>Independencia</t>
  </si>
  <si>
    <t>Maipú</t>
  </si>
  <si>
    <t>San Joaquín</t>
  </si>
  <si>
    <t>La Cisterna</t>
  </si>
  <si>
    <t>Ñuñoa</t>
  </si>
  <si>
    <t>San Ramón</t>
  </si>
  <si>
    <t>La Florida</t>
  </si>
  <si>
    <t>Pedro Aguirre Cerda</t>
  </si>
  <si>
    <t>La Pintana</t>
  </si>
  <si>
    <t>Peñalolén</t>
  </si>
  <si>
    <t>Vitacura</t>
  </si>
  <si>
    <t>La Granja</t>
  </si>
  <si>
    <t>Providencia</t>
  </si>
  <si>
    <t>Sector</t>
  </si>
  <si>
    <t>Centro</t>
  </si>
  <si>
    <t>Santiago</t>
  </si>
  <si>
    <t>Norte</t>
  </si>
  <si>
    <t>N°</t>
  </si>
  <si>
    <t>Puente Alto</t>
  </si>
  <si>
    <t>San Bernardo</t>
  </si>
  <si>
    <t>Nororiente (Sector Oriente)</t>
  </si>
  <si>
    <t>Norponiente (Sector Poniente)</t>
  </si>
  <si>
    <t>Sur</t>
  </si>
  <si>
    <t>Suroriente</t>
  </si>
  <si>
    <t>Pirque</t>
  </si>
  <si>
    <t>Surponiente</t>
  </si>
  <si>
    <t>Calera de Tango</t>
  </si>
  <si>
    <t>Padre Hurtado</t>
  </si>
  <si>
    <t>Peñaflor</t>
  </si>
  <si>
    <t>Talagante</t>
  </si>
  <si>
    <t>Colina</t>
  </si>
  <si>
    <t>Til-Til</t>
  </si>
  <si>
    <t>Lampa</t>
  </si>
  <si>
    <t>Paine</t>
  </si>
  <si>
    <t>Buin</t>
  </si>
  <si>
    <t>Poniente</t>
  </si>
  <si>
    <t>Curacaví</t>
  </si>
  <si>
    <t>María Pinto</t>
  </si>
  <si>
    <t>Melipilla</t>
  </si>
  <si>
    <t>San Pedro</t>
  </si>
  <si>
    <t>Alhué</t>
  </si>
  <si>
    <t>El Monte</t>
  </si>
  <si>
    <t>Isla de Maipo</t>
  </si>
  <si>
    <t>Provincia</t>
  </si>
  <si>
    <t>Chacabuco</t>
  </si>
  <si>
    <t>San José de Maipo</t>
  </si>
  <si>
    <t>Cordillera</t>
  </si>
  <si>
    <t>Maipo</t>
  </si>
  <si>
    <t>Etiquetas de fila</t>
  </si>
  <si>
    <t>(en blanco)</t>
  </si>
  <si>
    <t>Total general</t>
  </si>
  <si>
    <t>Cuenta de Comuna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</si>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</sst>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6.601958912041" createdVersion="8" refreshedVersion="8" minRefreshableVersion="3" recordCount="50" xr:uid="{4B0D883E-1385-2841-A362-B833A943E215}">
  <cacheSource type="worksheet">
    <worksheetSource ref="A1:D51" sheet="Datos"/>
  </cacheSource>
  <cacheFields count="4">
    <cacheField name="id" numFmtId="0">
      <sharedItems containsSemiMixedTypes="0" containsString="0" containsNumber="1" containsInteger="1" minValue="1" maxValue="50"/>
    </cacheField>
    <cacheField name="Nombre" numFmtId="0">
      <sharedItems containsBlank="1"/>
    </cacheField>
    <cacheField name="Comuna" numFmtId="0">
      <sharedItems containsBlank="1" count="35">
        <s v="Las Condes"/>
        <s v="El Bosque"/>
        <m/>
        <s v="Estación Central"/>
        <s v="Providencia"/>
        <s v="Lo Espejo"/>
        <s v="Vitacura"/>
        <s v="Macul"/>
        <s v="Maipú"/>
        <s v="Huechuraba"/>
        <s v="La Florida"/>
        <s v="Peñalolén"/>
        <s v="Colina"/>
        <s v="San Joaquín"/>
        <s v="Renca"/>
        <s v="Conchalí"/>
        <s v="San Miguel"/>
        <s v="Cerrillos"/>
        <s v="Lo Prado"/>
        <s v="Recoleta"/>
        <s v="Pudahuel"/>
        <s v="Independencia"/>
        <s v="La Cisterna"/>
        <s v="La Granja"/>
        <s v="La Reina"/>
        <s v="Ñuñoa"/>
        <s v="Lo Barnechea"/>
        <s v="Cerro Navia"/>
        <s v="Padre Hurtado"/>
        <s v="Peñaflor"/>
        <s v="Talagante"/>
        <s v="San Ramón" u="1"/>
        <s v="La Pintana" u="1"/>
        <s v="Quinta Normal" u="1"/>
        <s v="Pedro Aguirre Cerda" u="1"/>
      </sharedItems>
    </cacheField>
    <cacheField name="Se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Estrella Sevilla"/>
    <x v="0"/>
    <s v="Sector"/>
  </r>
  <r>
    <n v="2"/>
    <s v="Brigida Guijarro"/>
    <x v="1"/>
    <s v="Poniente"/>
  </r>
  <r>
    <n v="3"/>
    <s v="Julia Andres"/>
    <x v="2"/>
    <e v="#N/A"/>
  </r>
  <r>
    <n v="4"/>
    <s v="Marwa Zheng"/>
    <x v="3"/>
    <s v="Centro"/>
  </r>
  <r>
    <n v="5"/>
    <s v="Valentin Burgos"/>
    <x v="4"/>
    <s v="Nororiente (Sector Oriente)"/>
  </r>
  <r>
    <n v="6"/>
    <s v="Rachid Palomares"/>
    <x v="5"/>
    <s v="Sur"/>
  </r>
  <r>
    <n v="7"/>
    <s v="Eduard Molinero"/>
    <x v="6"/>
    <s v="Nororiente (Sector Oriente)"/>
  </r>
  <r>
    <n v="8"/>
    <s v="Azucena Cantero"/>
    <x v="7"/>
    <s v="Suroriente"/>
  </r>
  <r>
    <n v="9"/>
    <s v="Mateo Beltran"/>
    <x v="8"/>
    <s v="Sur"/>
  </r>
  <r>
    <n v="10"/>
    <s v="Patricio Leiva"/>
    <x v="2"/>
    <e v="#N/A"/>
  </r>
  <r>
    <n v="11"/>
    <s v="Iluminada Villar"/>
    <x v="9"/>
    <s v="Norte"/>
  </r>
  <r>
    <n v="12"/>
    <s v="Alfonso Muñiz"/>
    <x v="10"/>
    <s v="Nororiente (Sector Oriente)"/>
  </r>
  <r>
    <n v="13"/>
    <s v="Matilde de Leon"/>
    <x v="0"/>
    <s v="Sector"/>
  </r>
  <r>
    <n v="14"/>
    <s v="Francisca Ballester"/>
    <x v="11"/>
    <s v="Suroriente"/>
  </r>
  <r>
    <n v="15"/>
    <m/>
    <x v="12"/>
    <s v="Norte"/>
  </r>
  <r>
    <n v="16"/>
    <s v="Florin Conesa"/>
    <x v="13"/>
    <s v="Centro"/>
  </r>
  <r>
    <n v="17"/>
    <s v="Erika de Castro"/>
    <x v="14"/>
    <s v="Norponiente (Sector Poniente)"/>
  </r>
  <r>
    <n v="18"/>
    <s v="Emilia Sepulveda"/>
    <x v="15"/>
    <s v="Norte"/>
  </r>
  <r>
    <n v="19"/>
    <s v="Inocencia Manrique"/>
    <x v="16"/>
    <s v="Centro"/>
  </r>
  <r>
    <n v="20"/>
    <s v="Visitacion Urbano"/>
    <x v="17"/>
    <s v="Surponiente"/>
  </r>
  <r>
    <n v="21"/>
    <s v="Braulio de Diego"/>
    <x v="18"/>
    <s v="Norponiente (Sector Poniente)"/>
  </r>
  <r>
    <n v="22"/>
    <s v="Arantxa Cubero"/>
    <x v="8"/>
    <s v="Sur"/>
  </r>
  <r>
    <n v="23"/>
    <s v="Aroa Ferreira"/>
    <x v="19"/>
    <s v="Norte"/>
  </r>
  <r>
    <n v="24"/>
    <s v="Catalina Elvira"/>
    <x v="20"/>
    <s v="Norponiente (Sector Poniente)"/>
  </r>
  <r>
    <n v="25"/>
    <s v="Joaquim Chaves"/>
    <x v="21"/>
    <s v="Norponiente (Sector Poniente)"/>
  </r>
  <r>
    <n v="26"/>
    <s v="Toni Bello"/>
    <x v="22"/>
    <s v="Sur"/>
  </r>
  <r>
    <n v="27"/>
    <s v="Elia Yañez"/>
    <x v="9"/>
    <s v="Norte"/>
  </r>
  <r>
    <n v="28"/>
    <s v="Julio Almagro"/>
    <x v="6"/>
    <s v="Nororiente (Sector Oriente)"/>
  </r>
  <r>
    <n v="29"/>
    <s v="Dani Sobrino"/>
    <x v="3"/>
    <s v="Centro"/>
  </r>
  <r>
    <n v="30"/>
    <s v="Roberto Espada"/>
    <x v="7"/>
    <s v="Suroriente"/>
  </r>
  <r>
    <n v="31"/>
    <s v="Carmen Llamas"/>
    <x v="23"/>
    <s v="Sur"/>
  </r>
  <r>
    <n v="32"/>
    <s v="Fuensanta Mora"/>
    <x v="17"/>
    <s v="Surponiente"/>
  </r>
  <r>
    <n v="33"/>
    <s v="Felicitas Tapia"/>
    <x v="24"/>
    <s v="Nororiente (Sector Oriente)"/>
  </r>
  <r>
    <n v="34"/>
    <s v="Alex Flores"/>
    <x v="2"/>
    <e v="#N/A"/>
  </r>
  <r>
    <n v="35"/>
    <s v="Ane Buendia"/>
    <x v="25"/>
    <s v="Nororiente (Sector Oriente)"/>
  </r>
  <r>
    <n v="36"/>
    <s v="Desiree Ferrero"/>
    <x v="26"/>
    <s v="Nororiente (Sector Oriente)"/>
  </r>
  <r>
    <n v="37"/>
    <s v="Justo Bermudez"/>
    <x v="22"/>
    <s v="Sur"/>
  </r>
  <r>
    <n v="38"/>
    <s v="Benito Rodrguez"/>
    <x v="15"/>
    <s v="Norte"/>
  </r>
  <r>
    <n v="39"/>
    <s v="Teo Salas"/>
    <x v="13"/>
    <s v="Centro"/>
  </r>
  <r>
    <n v="40"/>
    <s v="Emilio Chaparro"/>
    <x v="21"/>
    <s v="Norponiente (Sector Poniente)"/>
  </r>
  <r>
    <n v="41"/>
    <s v="Ana Gimeno"/>
    <x v="23"/>
    <s v="Sur"/>
  </r>
  <r>
    <n v="42"/>
    <s v="Samira Guirado"/>
    <x v="12"/>
    <s v="Norte"/>
  </r>
  <r>
    <n v="43"/>
    <s v="Paula del Pozo"/>
    <x v="2"/>
    <e v="#N/A"/>
  </r>
  <r>
    <n v="44"/>
    <s v="Dario Muñoz"/>
    <x v="20"/>
    <s v="Norponiente (Sector Poniente)"/>
  </r>
  <r>
    <n v="45"/>
    <s v="Obdulia Mariscal"/>
    <x v="16"/>
    <s v="Centro"/>
  </r>
  <r>
    <n v="46"/>
    <s v="Naira Salvador"/>
    <x v="27"/>
    <s v="Centro"/>
  </r>
  <r>
    <n v="47"/>
    <s v="Serafin Abad"/>
    <x v="18"/>
    <s v="Norponiente (Sector Poniente)"/>
  </r>
  <r>
    <n v="48"/>
    <s v="Delfina Coronado"/>
    <x v="28"/>
    <s v="Surponiente"/>
  </r>
  <r>
    <n v="49"/>
    <m/>
    <x v="29"/>
    <s v="Surponiente"/>
  </r>
  <r>
    <n v="50"/>
    <s v="Ruth Alvaro"/>
    <x v="30"/>
    <s v="Surponi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62DBD-257C-F14B-936E-38D6A30960D1}" name="Tabla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5" firstHeaderRow="1" firstDataRow="1" firstDataCol="1"/>
  <pivotFields count="4">
    <pivotField showAll="0"/>
    <pivotField showAll="0"/>
    <pivotField axis="axisRow" dataField="1" showAll="0">
      <items count="36">
        <item x="17"/>
        <item x="27"/>
        <item x="15"/>
        <item x="1"/>
        <item x="3"/>
        <item x="9"/>
        <item x="21"/>
        <item x="22"/>
        <item x="10"/>
        <item x="23"/>
        <item m="1" x="32"/>
        <item x="24"/>
        <item x="0"/>
        <item x="26"/>
        <item x="5"/>
        <item x="18"/>
        <item x="7"/>
        <item x="8"/>
        <item x="25"/>
        <item m="1" x="34"/>
        <item x="11"/>
        <item x="4"/>
        <item x="20"/>
        <item m="1" x="33"/>
        <item x="19"/>
        <item x="14"/>
        <item x="13"/>
        <item x="16"/>
        <item m="1" x="31"/>
        <item x="6"/>
        <item x="2"/>
        <item x="12"/>
        <item x="28"/>
        <item x="29"/>
        <item x="30"/>
        <item t="default"/>
      </items>
    </pivotField>
    <pivotField showAll="0"/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Cuenta de Comun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FE3E-4585-B54B-AD0B-99CB58B70F09}">
  <dimension ref="A1:D51"/>
  <sheetViews>
    <sheetView tabSelected="1" workbookViewId="0">
      <selection activeCell="C6" sqref="C6"/>
    </sheetView>
  </sheetViews>
  <sheetFormatPr baseColWidth="10" defaultRowHeight="16" x14ac:dyDescent="0.2"/>
  <cols>
    <col min="1" max="1" width="3.1640625" bestFit="1" customWidth="1"/>
    <col min="2" max="3" width="17.33203125" bestFit="1" customWidth="1"/>
    <col min="4" max="4" width="26.1640625" bestFit="1" customWidth="1"/>
  </cols>
  <sheetData>
    <row r="1" spans="1:4" x14ac:dyDescent="0.2">
      <c r="A1" t="s">
        <v>0</v>
      </c>
      <c r="B1" t="s">
        <v>1</v>
      </c>
      <c r="C1" t="s">
        <v>50</v>
      </c>
      <c r="D1" t="s">
        <v>82</v>
      </c>
    </row>
    <row r="2" spans="1:4" x14ac:dyDescent="0.2">
      <c r="A2">
        <v>1</v>
      </c>
      <c r="B2" t="s">
        <v>2</v>
      </c>
      <c r="C2" t="s">
        <v>55</v>
      </c>
      <c r="D2" t="str">
        <f>INDEX('Comuna por Sector'!$B$2:$D$53,MATCH(Datos!C2,'Comuna por Sector'!$B$2:$B$53,0),2)</f>
        <v>Nororiente (Sector Oriente)</v>
      </c>
    </row>
    <row r="3" spans="1:4" x14ac:dyDescent="0.2">
      <c r="A3">
        <v>2</v>
      </c>
      <c r="B3" t="s">
        <v>3</v>
      </c>
      <c r="C3" t="s">
        <v>60</v>
      </c>
      <c r="D3" t="str">
        <f>INDEX('Comuna por Sector'!$B$2:$D$53,MATCH(Datos!C3,'Comuna por Sector'!$B$2:$B$53,0),2)</f>
        <v>Sur</v>
      </c>
    </row>
    <row r="4" spans="1:4" x14ac:dyDescent="0.2">
      <c r="A4">
        <v>3</v>
      </c>
      <c r="B4" t="s">
        <v>4</v>
      </c>
      <c r="D4" t="e">
        <f>INDEX('Comuna por Sector'!$B$2:$D$53,MATCH(Datos!C4,'Comuna por Sector'!$B$2:$B$53,0),2)</f>
        <v>#N/A</v>
      </c>
    </row>
    <row r="5" spans="1:4" x14ac:dyDescent="0.2">
      <c r="A5">
        <v>4</v>
      </c>
      <c r="B5" t="s">
        <v>5</v>
      </c>
      <c r="C5" t="s">
        <v>63</v>
      </c>
      <c r="D5" t="str">
        <f>INDEX('Comuna por Sector'!$B$2:$D$53,MATCH(Datos!C5,'Comuna por Sector'!$B$2:$B$53,0),2)</f>
        <v>Centro</v>
      </c>
    </row>
    <row r="6" spans="1:4" x14ac:dyDescent="0.2">
      <c r="A6">
        <v>5</v>
      </c>
      <c r="B6" t="s">
        <v>6</v>
      </c>
      <c r="C6" t="s">
        <v>81</v>
      </c>
      <c r="D6" t="str">
        <f>INDEX('Comuna por Sector'!$B$2:$D$53,MATCH(Datos!C6,'Comuna por Sector'!$B$2:$B$53,0),2)</f>
        <v>Nororiente (Sector Oriente)</v>
      </c>
    </row>
    <row r="7" spans="1:4" x14ac:dyDescent="0.2">
      <c r="A7">
        <v>6</v>
      </c>
      <c r="B7" t="s">
        <v>7</v>
      </c>
      <c r="C7" t="s">
        <v>61</v>
      </c>
      <c r="D7" t="str">
        <f>INDEX('Comuna por Sector'!$B$2:$D$53,MATCH(Datos!C7,'Comuna por Sector'!$B$2:$B$53,0),2)</f>
        <v>Sur</v>
      </c>
    </row>
    <row r="8" spans="1:4" x14ac:dyDescent="0.2">
      <c r="A8">
        <v>7</v>
      </c>
      <c r="B8" t="s">
        <v>8</v>
      </c>
      <c r="C8" t="s">
        <v>79</v>
      </c>
      <c r="D8" t="str">
        <f>INDEX('Comuna por Sector'!$B$2:$D$53,MATCH(Datos!C8,'Comuna por Sector'!$B$2:$B$53,0),2)</f>
        <v>Nororiente (Sector Oriente)</v>
      </c>
    </row>
    <row r="9" spans="1:4" x14ac:dyDescent="0.2">
      <c r="A9">
        <v>8</v>
      </c>
      <c r="B9" t="s">
        <v>9</v>
      </c>
      <c r="C9" t="s">
        <v>67</v>
      </c>
      <c r="D9" t="str">
        <f>INDEX('Comuna por Sector'!$B$2:$D$53,MATCH(Datos!C9,'Comuna por Sector'!$B$2:$B$53,0),2)</f>
        <v>Suroriente</v>
      </c>
    </row>
    <row r="10" spans="1:4" x14ac:dyDescent="0.2">
      <c r="A10">
        <v>9</v>
      </c>
      <c r="B10" t="s">
        <v>10</v>
      </c>
      <c r="C10" t="s">
        <v>70</v>
      </c>
      <c r="D10" t="str">
        <f>INDEX('Comuna por Sector'!$B$2:$D$53,MATCH(Datos!C10,'Comuna por Sector'!$B$2:$B$53,0),2)</f>
        <v>Surponiente</v>
      </c>
    </row>
    <row r="11" spans="1:4" x14ac:dyDescent="0.2">
      <c r="A11">
        <v>10</v>
      </c>
      <c r="B11" t="s">
        <v>11</v>
      </c>
      <c r="D11" t="e">
        <f>INDEX('Comuna por Sector'!$B$2:$D$53,MATCH(Datos!C11,'Comuna por Sector'!$B$2:$B$53,0),2)</f>
        <v>#N/A</v>
      </c>
    </row>
    <row r="12" spans="1:4" x14ac:dyDescent="0.2">
      <c r="A12">
        <v>11</v>
      </c>
      <c r="B12" t="s">
        <v>12</v>
      </c>
      <c r="C12" t="s">
        <v>66</v>
      </c>
      <c r="D12" t="str">
        <f>INDEX('Comuna por Sector'!$B$2:$D$53,MATCH(Datos!C12,'Comuna por Sector'!$B$2:$B$53,0),2)</f>
        <v>Norte</v>
      </c>
    </row>
    <row r="13" spans="1:4" x14ac:dyDescent="0.2">
      <c r="A13">
        <v>12</v>
      </c>
      <c r="B13" t="s">
        <v>13</v>
      </c>
      <c r="C13" t="s">
        <v>75</v>
      </c>
      <c r="D13" t="str">
        <f>INDEX('Comuna por Sector'!$B$2:$D$53,MATCH(Datos!C13,'Comuna por Sector'!$B$2:$B$53,0),2)</f>
        <v>Suroriente</v>
      </c>
    </row>
    <row r="14" spans="1:4" x14ac:dyDescent="0.2">
      <c r="A14">
        <v>13</v>
      </c>
      <c r="B14" t="s">
        <v>14</v>
      </c>
      <c r="C14" t="s">
        <v>55</v>
      </c>
      <c r="D14" t="str">
        <f>INDEX('Comuna por Sector'!$B$2:$D$53,MATCH(Datos!C14,'Comuna por Sector'!$B$2:$B$53,0),2)</f>
        <v>Nororiente (Sector Oriente)</v>
      </c>
    </row>
    <row r="15" spans="1:4" x14ac:dyDescent="0.2">
      <c r="A15">
        <v>14</v>
      </c>
      <c r="B15" t="s">
        <v>15</v>
      </c>
      <c r="C15" t="s">
        <v>78</v>
      </c>
      <c r="D15" t="str">
        <f>INDEX('Comuna por Sector'!$B$2:$D$53,MATCH(Datos!C15,'Comuna por Sector'!$B$2:$B$53,0),2)</f>
        <v>Suroriente</v>
      </c>
    </row>
    <row r="16" spans="1:4" x14ac:dyDescent="0.2">
      <c r="A16">
        <v>15</v>
      </c>
      <c r="B16" t="s">
        <v>17</v>
      </c>
      <c r="C16" t="s">
        <v>99</v>
      </c>
      <c r="D16" t="str">
        <f>INDEX('Comuna por Sector'!$B$2:$D$53,MATCH(Datos!C16,'Comuna por Sector'!$B$2:$B$53,0),2)</f>
        <v>Norte</v>
      </c>
    </row>
    <row r="17" spans="1:4" x14ac:dyDescent="0.2">
      <c r="A17">
        <v>16</v>
      </c>
      <c r="B17" t="s">
        <v>16</v>
      </c>
      <c r="C17" t="s">
        <v>71</v>
      </c>
      <c r="D17" t="str">
        <f>INDEX('Comuna por Sector'!$B$2:$D$53,MATCH(Datos!C17,'Comuna por Sector'!$B$2:$B$53,0),2)</f>
        <v>Centro</v>
      </c>
    </row>
    <row r="18" spans="1:4" x14ac:dyDescent="0.2">
      <c r="A18">
        <v>17</v>
      </c>
      <c r="C18" t="s">
        <v>65</v>
      </c>
      <c r="D18" t="str">
        <f>INDEX('Comuna por Sector'!$B$2:$D$53,MATCH(Datos!C18,'Comuna por Sector'!$B$2:$B$53,0),2)</f>
        <v>Norponiente (Sector Poniente)</v>
      </c>
    </row>
    <row r="19" spans="1:4" x14ac:dyDescent="0.2">
      <c r="A19">
        <v>18</v>
      </c>
      <c r="B19" t="s">
        <v>18</v>
      </c>
      <c r="C19" t="s">
        <v>57</v>
      </c>
      <c r="D19" t="str">
        <f>INDEX('Comuna por Sector'!$B$2:$D$53,MATCH(Datos!C19,'Comuna por Sector'!$B$2:$B$53,0),2)</f>
        <v>Norte</v>
      </c>
    </row>
    <row r="20" spans="1:4" x14ac:dyDescent="0.2">
      <c r="A20">
        <v>19</v>
      </c>
      <c r="B20" t="s">
        <v>19</v>
      </c>
      <c r="C20" t="s">
        <v>68</v>
      </c>
      <c r="D20" t="str">
        <f>INDEX('Comuna por Sector'!$B$2:$D$53,MATCH(Datos!C20,'Comuna por Sector'!$B$2:$B$53,0),2)</f>
        <v>Centro</v>
      </c>
    </row>
    <row r="21" spans="1:4" x14ac:dyDescent="0.2">
      <c r="A21">
        <v>20</v>
      </c>
      <c r="B21" t="s">
        <v>20</v>
      </c>
      <c r="C21" t="s">
        <v>51</v>
      </c>
      <c r="D21" t="str">
        <f>INDEX('Comuna por Sector'!$B$2:$D$53,MATCH(Datos!C21,'Comuna por Sector'!$B$2:$B$53,0),2)</f>
        <v>Surponiente</v>
      </c>
    </row>
    <row r="22" spans="1:4" x14ac:dyDescent="0.2">
      <c r="A22">
        <v>21</v>
      </c>
      <c r="B22" t="s">
        <v>21</v>
      </c>
      <c r="C22" t="s">
        <v>64</v>
      </c>
      <c r="D22" t="str">
        <f>INDEX('Comuna por Sector'!$B$2:$D$53,MATCH(Datos!C22,'Comuna por Sector'!$B$2:$B$53,0),2)</f>
        <v>Norponiente (Sector Poniente)</v>
      </c>
    </row>
    <row r="23" spans="1:4" x14ac:dyDescent="0.2">
      <c r="A23">
        <v>22</v>
      </c>
      <c r="B23" t="s">
        <v>22</v>
      </c>
      <c r="C23" t="s">
        <v>70</v>
      </c>
      <c r="D23" t="str">
        <f>INDEX('Comuna por Sector'!$B$2:$D$53,MATCH(Datos!C23,'Comuna por Sector'!$B$2:$B$53,0),2)</f>
        <v>Surponiente</v>
      </c>
    </row>
    <row r="24" spans="1:4" x14ac:dyDescent="0.2">
      <c r="A24">
        <v>23</v>
      </c>
      <c r="B24" t="s">
        <v>23</v>
      </c>
      <c r="C24" t="s">
        <v>62</v>
      </c>
      <c r="D24" t="str">
        <f>INDEX('Comuna por Sector'!$B$2:$D$53,MATCH(Datos!C24,'Comuna por Sector'!$B$2:$B$53,0),2)</f>
        <v>Norte</v>
      </c>
    </row>
    <row r="25" spans="1:4" x14ac:dyDescent="0.2">
      <c r="A25">
        <v>24</v>
      </c>
      <c r="B25" t="s">
        <v>24</v>
      </c>
      <c r="C25" t="s">
        <v>53</v>
      </c>
      <c r="D25" t="str">
        <f>INDEX('Comuna por Sector'!$B$2:$D$53,MATCH(Datos!C25,'Comuna por Sector'!$B$2:$B$53,0),2)</f>
        <v>Norponiente (Sector Poniente)</v>
      </c>
    </row>
    <row r="26" spans="1:4" x14ac:dyDescent="0.2">
      <c r="A26">
        <v>25</v>
      </c>
      <c r="B26" t="s">
        <v>25</v>
      </c>
      <c r="C26" t="s">
        <v>69</v>
      </c>
      <c r="D26" t="str">
        <f>INDEX('Comuna por Sector'!$B$2:$D$53,MATCH(Datos!C26,'Comuna por Sector'!$B$2:$B$53,0),2)</f>
        <v>Norte</v>
      </c>
    </row>
    <row r="27" spans="1:4" x14ac:dyDescent="0.2">
      <c r="A27">
        <v>26</v>
      </c>
      <c r="B27" t="s">
        <v>26</v>
      </c>
      <c r="C27" t="s">
        <v>72</v>
      </c>
      <c r="D27" t="str">
        <f>INDEX('Comuna por Sector'!$B$2:$D$53,MATCH(Datos!C27,'Comuna por Sector'!$B$2:$B$53,0),2)</f>
        <v>Sur</v>
      </c>
    </row>
    <row r="28" spans="1:4" x14ac:dyDescent="0.2">
      <c r="A28">
        <v>27</v>
      </c>
      <c r="B28" t="s">
        <v>27</v>
      </c>
      <c r="C28" t="s">
        <v>66</v>
      </c>
      <c r="D28" t="str">
        <f>INDEX('Comuna por Sector'!$B$2:$D$53,MATCH(Datos!C28,'Comuna por Sector'!$B$2:$B$53,0),2)</f>
        <v>Norte</v>
      </c>
    </row>
    <row r="29" spans="1:4" x14ac:dyDescent="0.2">
      <c r="A29">
        <v>28</v>
      </c>
      <c r="B29" t="s">
        <v>28</v>
      </c>
      <c r="C29" t="s">
        <v>79</v>
      </c>
      <c r="D29" t="str">
        <f>INDEX('Comuna por Sector'!$B$2:$D$53,MATCH(Datos!C29,'Comuna por Sector'!$B$2:$B$53,0),2)</f>
        <v>Nororiente (Sector Oriente)</v>
      </c>
    </row>
    <row r="30" spans="1:4" x14ac:dyDescent="0.2">
      <c r="A30">
        <v>29</v>
      </c>
      <c r="B30" t="s">
        <v>29</v>
      </c>
      <c r="C30" t="s">
        <v>63</v>
      </c>
      <c r="D30" t="str">
        <f>INDEX('Comuna por Sector'!$B$2:$D$53,MATCH(Datos!C30,'Comuna por Sector'!$B$2:$B$53,0),2)</f>
        <v>Centro</v>
      </c>
    </row>
    <row r="31" spans="1:4" x14ac:dyDescent="0.2">
      <c r="A31">
        <v>30</v>
      </c>
      <c r="B31" t="s">
        <v>30</v>
      </c>
      <c r="C31" t="s">
        <v>67</v>
      </c>
      <c r="D31" t="str">
        <f>INDEX('Comuna por Sector'!$B$2:$D$53,MATCH(Datos!C31,'Comuna por Sector'!$B$2:$B$53,0),2)</f>
        <v>Suroriente</v>
      </c>
    </row>
    <row r="32" spans="1:4" x14ac:dyDescent="0.2">
      <c r="A32">
        <v>31</v>
      </c>
      <c r="B32" t="s">
        <v>31</v>
      </c>
      <c r="C32" t="s">
        <v>80</v>
      </c>
      <c r="D32" t="str">
        <f>INDEX('Comuna por Sector'!$B$2:$D$53,MATCH(Datos!C32,'Comuna por Sector'!$B$2:$B$53,0),2)</f>
        <v>Sur</v>
      </c>
    </row>
    <row r="33" spans="1:4" x14ac:dyDescent="0.2">
      <c r="A33">
        <v>32</v>
      </c>
      <c r="B33" t="s">
        <v>32</v>
      </c>
      <c r="C33" t="s">
        <v>51</v>
      </c>
      <c r="D33" t="str">
        <f>INDEX('Comuna por Sector'!$B$2:$D$53,MATCH(Datos!C33,'Comuna por Sector'!$B$2:$B$53,0),2)</f>
        <v>Surponiente</v>
      </c>
    </row>
    <row r="34" spans="1:4" x14ac:dyDescent="0.2">
      <c r="A34">
        <v>33</v>
      </c>
      <c r="B34" t="s">
        <v>33</v>
      </c>
      <c r="C34" t="s">
        <v>52</v>
      </c>
      <c r="D34" t="str">
        <f>INDEX('Comuna por Sector'!$B$2:$D$53,MATCH(Datos!C34,'Comuna por Sector'!$B$2:$B$53,0),2)</f>
        <v>Nororiente (Sector Oriente)</v>
      </c>
    </row>
    <row r="35" spans="1:4" x14ac:dyDescent="0.2">
      <c r="A35">
        <v>34</v>
      </c>
      <c r="B35" t="s">
        <v>34</v>
      </c>
      <c r="D35" t="e">
        <f>INDEX('Comuna por Sector'!$B$2:$D$53,MATCH(Datos!C35,'Comuna por Sector'!$B$2:$B$53,0),2)</f>
        <v>#N/A</v>
      </c>
    </row>
    <row r="36" spans="1:4" x14ac:dyDescent="0.2">
      <c r="A36">
        <v>35</v>
      </c>
      <c r="B36" t="s">
        <v>35</v>
      </c>
      <c r="C36" t="s">
        <v>73</v>
      </c>
      <c r="D36" t="str">
        <f>INDEX('Comuna por Sector'!$B$2:$D$53,MATCH(Datos!C36,'Comuna por Sector'!$B$2:$B$53,0),2)</f>
        <v>Nororiente (Sector Oriente)</v>
      </c>
    </row>
    <row r="37" spans="1:4" x14ac:dyDescent="0.2">
      <c r="A37">
        <v>36</v>
      </c>
      <c r="B37" t="s">
        <v>36</v>
      </c>
      <c r="C37" t="s">
        <v>58</v>
      </c>
      <c r="D37" t="str">
        <f>INDEX('Comuna por Sector'!$B$2:$D$53,MATCH(Datos!C37,'Comuna por Sector'!$B$2:$B$53,0),2)</f>
        <v>Nororiente (Sector Oriente)</v>
      </c>
    </row>
    <row r="38" spans="1:4" x14ac:dyDescent="0.2">
      <c r="A38">
        <v>37</v>
      </c>
      <c r="B38" t="s">
        <v>37</v>
      </c>
      <c r="C38" t="s">
        <v>72</v>
      </c>
      <c r="D38" t="str">
        <f>INDEX('Comuna por Sector'!$B$2:$D$53,MATCH(Datos!C38,'Comuna por Sector'!$B$2:$B$53,0),2)</f>
        <v>Sur</v>
      </c>
    </row>
    <row r="39" spans="1:4" x14ac:dyDescent="0.2">
      <c r="A39">
        <v>38</v>
      </c>
      <c r="B39" t="s">
        <v>38</v>
      </c>
      <c r="C39" t="s">
        <v>57</v>
      </c>
      <c r="D39" t="str">
        <f>INDEX('Comuna por Sector'!$B$2:$D$53,MATCH(Datos!C39,'Comuna por Sector'!$B$2:$B$53,0),2)</f>
        <v>Norte</v>
      </c>
    </row>
    <row r="40" spans="1:4" x14ac:dyDescent="0.2">
      <c r="A40">
        <v>39</v>
      </c>
      <c r="B40" t="s">
        <v>39</v>
      </c>
      <c r="C40" t="s">
        <v>71</v>
      </c>
      <c r="D40" t="str">
        <f>INDEX('Comuna por Sector'!$B$2:$D$53,MATCH(Datos!C40,'Comuna por Sector'!$B$2:$B$53,0),2)</f>
        <v>Centro</v>
      </c>
    </row>
    <row r="41" spans="1:4" x14ac:dyDescent="0.2">
      <c r="A41">
        <v>40</v>
      </c>
      <c r="B41" t="s">
        <v>40</v>
      </c>
      <c r="C41" t="s">
        <v>69</v>
      </c>
      <c r="D41" t="str">
        <f>INDEX('Comuna por Sector'!$B$2:$D$53,MATCH(Datos!C41,'Comuna por Sector'!$B$2:$B$53,0),2)</f>
        <v>Norte</v>
      </c>
    </row>
    <row r="42" spans="1:4" x14ac:dyDescent="0.2">
      <c r="A42">
        <v>41</v>
      </c>
      <c r="B42" t="s">
        <v>41</v>
      </c>
      <c r="C42" t="s">
        <v>80</v>
      </c>
      <c r="D42" t="str">
        <f>INDEX('Comuna por Sector'!$B$2:$D$53,MATCH(Datos!C42,'Comuna por Sector'!$B$2:$B$53,0),2)</f>
        <v>Sur</v>
      </c>
    </row>
    <row r="43" spans="1:4" x14ac:dyDescent="0.2">
      <c r="A43">
        <v>42</v>
      </c>
      <c r="B43" t="s">
        <v>42</v>
      </c>
      <c r="C43" t="s">
        <v>99</v>
      </c>
      <c r="D43" t="str">
        <f>INDEX('Comuna por Sector'!$B$2:$D$53,MATCH(Datos!C43,'Comuna por Sector'!$B$2:$B$53,0),2)</f>
        <v>Norte</v>
      </c>
    </row>
    <row r="44" spans="1:4" x14ac:dyDescent="0.2">
      <c r="A44">
        <v>43</v>
      </c>
      <c r="B44" t="s">
        <v>43</v>
      </c>
      <c r="D44" t="e">
        <f>INDEX('Comuna por Sector'!$B$2:$D$53,MATCH(Datos!C44,'Comuna por Sector'!$B$2:$B$53,0),2)</f>
        <v>#N/A</v>
      </c>
    </row>
    <row r="45" spans="1:4" x14ac:dyDescent="0.2">
      <c r="A45">
        <v>44</v>
      </c>
      <c r="B45" t="s">
        <v>44</v>
      </c>
      <c r="C45" t="s">
        <v>53</v>
      </c>
      <c r="D45" t="str">
        <f>INDEX('Comuna por Sector'!$B$2:$D$53,MATCH(Datos!C45,'Comuna por Sector'!$B$2:$B$53,0),2)</f>
        <v>Norponiente (Sector Poniente)</v>
      </c>
    </row>
    <row r="46" spans="1:4" x14ac:dyDescent="0.2">
      <c r="A46">
        <v>45</v>
      </c>
      <c r="C46" t="s">
        <v>68</v>
      </c>
      <c r="D46" t="str">
        <f>INDEX('Comuna por Sector'!$B$2:$D$53,MATCH(Datos!C46,'Comuna por Sector'!$B$2:$B$53,0),2)</f>
        <v>Centro</v>
      </c>
    </row>
    <row r="47" spans="1:4" x14ac:dyDescent="0.2">
      <c r="A47">
        <v>46</v>
      </c>
      <c r="B47" t="s">
        <v>46</v>
      </c>
      <c r="C47" t="s">
        <v>54</v>
      </c>
      <c r="D47" t="str">
        <f>INDEX('Comuna por Sector'!$B$2:$D$53,MATCH(Datos!C47,'Comuna por Sector'!$B$2:$B$53,0),2)</f>
        <v>Norponiente (Sector Poniente)</v>
      </c>
    </row>
    <row r="48" spans="1:4" x14ac:dyDescent="0.2">
      <c r="A48">
        <v>47</v>
      </c>
      <c r="B48" t="s">
        <v>47</v>
      </c>
      <c r="C48" t="s">
        <v>64</v>
      </c>
      <c r="D48" t="str">
        <f>INDEX('Comuna por Sector'!$B$2:$D$53,MATCH(Datos!C48,'Comuna por Sector'!$B$2:$B$53,0),2)</f>
        <v>Norponiente (Sector Poniente)</v>
      </c>
    </row>
    <row r="49" spans="1:4" x14ac:dyDescent="0.2">
      <c r="A49">
        <v>48</v>
      </c>
      <c r="B49" t="s">
        <v>48</v>
      </c>
      <c r="C49" t="s">
        <v>96</v>
      </c>
      <c r="D49" t="str">
        <f>INDEX('Comuna por Sector'!$B$2:$D$53,MATCH(Datos!C49,'Comuna por Sector'!$B$2:$B$53,0),2)</f>
        <v>Surponiente</v>
      </c>
    </row>
    <row r="50" spans="1:4" x14ac:dyDescent="0.2">
      <c r="A50">
        <v>49</v>
      </c>
      <c r="B50" t="s">
        <v>45</v>
      </c>
      <c r="C50" t="s">
        <v>97</v>
      </c>
      <c r="D50" t="str">
        <f>INDEX('Comuna por Sector'!$B$2:$D$53,MATCH(Datos!C50,'Comuna por Sector'!$B$2:$B$53,0),2)</f>
        <v>Surponiente</v>
      </c>
    </row>
    <row r="51" spans="1:4" x14ac:dyDescent="0.2">
      <c r="A51">
        <v>50</v>
      </c>
      <c r="B51" t="s">
        <v>49</v>
      </c>
      <c r="C51" t="s">
        <v>98</v>
      </c>
      <c r="D51" t="str">
        <f>INDEX('Comuna por Sector'!$B$2:$D$53,MATCH(Datos!C51,'Comuna por Sector'!$B$2:$B$53,0),2)</f>
        <v>Surponiente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BBF2-C4D1-124A-A3E9-04AF4EC3A373}">
  <dimension ref="A3:B35"/>
  <sheetViews>
    <sheetView topLeftCell="A12" workbookViewId="0">
      <selection activeCell="B28" sqref="B28"/>
    </sheetView>
  </sheetViews>
  <sheetFormatPr baseColWidth="10" defaultRowHeight="16" x14ac:dyDescent="0.2"/>
  <cols>
    <col min="1" max="1" width="16.83203125" bestFit="1" customWidth="1"/>
    <col min="2" max="2" width="17" bestFit="1" customWidth="1"/>
  </cols>
  <sheetData>
    <row r="3" spans="1:2" x14ac:dyDescent="0.2">
      <c r="A3" s="1" t="s">
        <v>117</v>
      </c>
      <c r="B3" t="s">
        <v>120</v>
      </c>
    </row>
    <row r="4" spans="1:2" x14ac:dyDescent="0.2">
      <c r="A4" s="2" t="s">
        <v>51</v>
      </c>
      <c r="B4">
        <v>2</v>
      </c>
    </row>
    <row r="5" spans="1:2" x14ac:dyDescent="0.2">
      <c r="A5" s="2" t="s">
        <v>54</v>
      </c>
      <c r="B5">
        <v>1</v>
      </c>
    </row>
    <row r="6" spans="1:2" x14ac:dyDescent="0.2">
      <c r="A6" s="2" t="s">
        <v>57</v>
      </c>
      <c r="B6">
        <v>2</v>
      </c>
    </row>
    <row r="7" spans="1:2" x14ac:dyDescent="0.2">
      <c r="A7" s="2" t="s">
        <v>60</v>
      </c>
      <c r="B7">
        <v>1</v>
      </c>
    </row>
    <row r="8" spans="1:2" x14ac:dyDescent="0.2">
      <c r="A8" s="2" t="s">
        <v>63</v>
      </c>
      <c r="B8">
        <v>2</v>
      </c>
    </row>
    <row r="9" spans="1:2" x14ac:dyDescent="0.2">
      <c r="A9" s="2" t="s">
        <v>66</v>
      </c>
      <c r="B9">
        <v>2</v>
      </c>
    </row>
    <row r="10" spans="1:2" x14ac:dyDescent="0.2">
      <c r="A10" s="2" t="s">
        <v>69</v>
      </c>
      <c r="B10">
        <v>2</v>
      </c>
    </row>
    <row r="11" spans="1:2" x14ac:dyDescent="0.2">
      <c r="A11" s="2" t="s">
        <v>72</v>
      </c>
      <c r="B11">
        <v>2</v>
      </c>
    </row>
    <row r="12" spans="1:2" x14ac:dyDescent="0.2">
      <c r="A12" s="2" t="s">
        <v>75</v>
      </c>
      <c r="B12">
        <v>1</v>
      </c>
    </row>
    <row r="13" spans="1:2" x14ac:dyDescent="0.2">
      <c r="A13" s="2" t="s">
        <v>80</v>
      </c>
      <c r="B13">
        <v>2</v>
      </c>
    </row>
    <row r="14" spans="1:2" x14ac:dyDescent="0.2">
      <c r="A14" s="2" t="s">
        <v>52</v>
      </c>
      <c r="B14">
        <v>1</v>
      </c>
    </row>
    <row r="15" spans="1:2" x14ac:dyDescent="0.2">
      <c r="A15" s="2" t="s">
        <v>55</v>
      </c>
      <c r="B15">
        <v>2</v>
      </c>
    </row>
    <row r="16" spans="1:2" x14ac:dyDescent="0.2">
      <c r="A16" s="2" t="s">
        <v>58</v>
      </c>
      <c r="B16">
        <v>1</v>
      </c>
    </row>
    <row r="17" spans="1:2" x14ac:dyDescent="0.2">
      <c r="A17" s="2" t="s">
        <v>61</v>
      </c>
      <c r="B17">
        <v>1</v>
      </c>
    </row>
    <row r="18" spans="1:2" x14ac:dyDescent="0.2">
      <c r="A18" s="2" t="s">
        <v>64</v>
      </c>
      <c r="B18">
        <v>2</v>
      </c>
    </row>
    <row r="19" spans="1:2" x14ac:dyDescent="0.2">
      <c r="A19" s="2" t="s">
        <v>67</v>
      </c>
      <c r="B19">
        <v>2</v>
      </c>
    </row>
    <row r="20" spans="1:2" x14ac:dyDescent="0.2">
      <c r="A20" s="2" t="s">
        <v>70</v>
      </c>
      <c r="B20">
        <v>2</v>
      </c>
    </row>
    <row r="21" spans="1:2" x14ac:dyDescent="0.2">
      <c r="A21" s="2" t="s">
        <v>73</v>
      </c>
      <c r="B21">
        <v>1</v>
      </c>
    </row>
    <row r="22" spans="1:2" x14ac:dyDescent="0.2">
      <c r="A22" s="2" t="s">
        <v>78</v>
      </c>
      <c r="B22">
        <v>1</v>
      </c>
    </row>
    <row r="23" spans="1:2" x14ac:dyDescent="0.2">
      <c r="A23" s="2" t="s">
        <v>81</v>
      </c>
      <c r="B23">
        <v>1</v>
      </c>
    </row>
    <row r="24" spans="1:2" x14ac:dyDescent="0.2">
      <c r="A24" s="2" t="s">
        <v>53</v>
      </c>
      <c r="B24">
        <v>2</v>
      </c>
    </row>
    <row r="25" spans="1:2" x14ac:dyDescent="0.2">
      <c r="A25" s="2" t="s">
        <v>62</v>
      </c>
      <c r="B25">
        <v>1</v>
      </c>
    </row>
    <row r="26" spans="1:2" x14ac:dyDescent="0.2">
      <c r="A26" s="2" t="s">
        <v>65</v>
      </c>
      <c r="B26">
        <v>1</v>
      </c>
    </row>
    <row r="27" spans="1:2" x14ac:dyDescent="0.2">
      <c r="A27" s="2" t="s">
        <v>71</v>
      </c>
      <c r="B27">
        <v>2</v>
      </c>
    </row>
    <row r="28" spans="1:2" x14ac:dyDescent="0.2">
      <c r="A28" s="2" t="s">
        <v>68</v>
      </c>
      <c r="B28">
        <v>2</v>
      </c>
    </row>
    <row r="29" spans="1:2" x14ac:dyDescent="0.2">
      <c r="A29" s="2" t="s">
        <v>79</v>
      </c>
      <c r="B29">
        <v>2</v>
      </c>
    </row>
    <row r="30" spans="1:2" x14ac:dyDescent="0.2">
      <c r="A30" s="2" t="s">
        <v>118</v>
      </c>
    </row>
    <row r="31" spans="1:2" x14ac:dyDescent="0.2">
      <c r="A31" s="2" t="s">
        <v>99</v>
      </c>
      <c r="B31">
        <v>2</v>
      </c>
    </row>
    <row r="32" spans="1:2" x14ac:dyDescent="0.2">
      <c r="A32" s="2" t="s">
        <v>96</v>
      </c>
      <c r="B32">
        <v>1</v>
      </c>
    </row>
    <row r="33" spans="1:2" x14ac:dyDescent="0.2">
      <c r="A33" s="2" t="s">
        <v>97</v>
      </c>
      <c r="B33">
        <v>1</v>
      </c>
    </row>
    <row r="34" spans="1:2" x14ac:dyDescent="0.2">
      <c r="A34" s="2" t="s">
        <v>98</v>
      </c>
      <c r="B34">
        <v>1</v>
      </c>
    </row>
    <row r="35" spans="1:2" x14ac:dyDescent="0.2">
      <c r="A35" s="2" t="s">
        <v>119</v>
      </c>
      <c r="B35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8FBE-C0AC-6943-A527-3970063FE260}">
  <dimension ref="A1:E53"/>
  <sheetViews>
    <sheetView workbookViewId="0">
      <selection activeCell="C7" sqref="C7"/>
    </sheetView>
  </sheetViews>
  <sheetFormatPr baseColWidth="10" defaultRowHeight="16" x14ac:dyDescent="0.2"/>
  <cols>
    <col min="1" max="1" width="5.6640625" bestFit="1" customWidth="1"/>
    <col min="2" max="2" width="17.33203125" bestFit="1" customWidth="1"/>
    <col min="3" max="3" width="26.1640625" bestFit="1" customWidth="1"/>
    <col min="4" max="4" width="11.1640625" bestFit="1" customWidth="1"/>
    <col min="5" max="5" width="7.6640625" bestFit="1" customWidth="1"/>
  </cols>
  <sheetData>
    <row r="1" spans="1:5" x14ac:dyDescent="0.2">
      <c r="A1" t="s">
        <v>86</v>
      </c>
      <c r="B1" t="s">
        <v>50</v>
      </c>
      <c r="C1" t="s">
        <v>82</v>
      </c>
      <c r="D1" t="s">
        <v>112</v>
      </c>
      <c r="E1" t="s">
        <v>121</v>
      </c>
    </row>
    <row r="2" spans="1:5" x14ac:dyDescent="0.2">
      <c r="A2">
        <v>11</v>
      </c>
      <c r="B2" t="s">
        <v>55</v>
      </c>
      <c r="C2" t="s">
        <v>89</v>
      </c>
      <c r="D2" t="s">
        <v>84</v>
      </c>
      <c r="E2">
        <v>1</v>
      </c>
    </row>
    <row r="3" spans="1:5" x14ac:dyDescent="0.2">
      <c r="A3">
        <v>12</v>
      </c>
      <c r="B3" t="s">
        <v>79</v>
      </c>
      <c r="C3" t="s">
        <v>89</v>
      </c>
      <c r="D3" t="s">
        <v>84</v>
      </c>
      <c r="E3">
        <v>1</v>
      </c>
    </row>
    <row r="4" spans="1:5" x14ac:dyDescent="0.2">
      <c r="A4">
        <v>13</v>
      </c>
      <c r="B4" t="s">
        <v>58</v>
      </c>
      <c r="C4" t="s">
        <v>89</v>
      </c>
      <c r="D4" t="s">
        <v>84</v>
      </c>
      <c r="E4">
        <v>1</v>
      </c>
    </row>
    <row r="5" spans="1:5" x14ac:dyDescent="0.2">
      <c r="A5">
        <v>14</v>
      </c>
      <c r="B5" t="s">
        <v>81</v>
      </c>
      <c r="C5" t="s">
        <v>89</v>
      </c>
      <c r="D5" t="s">
        <v>84</v>
      </c>
      <c r="E5">
        <v>1</v>
      </c>
    </row>
    <row r="6" spans="1:5" x14ac:dyDescent="0.2">
      <c r="A6">
        <v>15</v>
      </c>
      <c r="B6" t="s">
        <v>52</v>
      </c>
      <c r="C6" t="s">
        <v>89</v>
      </c>
      <c r="D6" t="s">
        <v>84</v>
      </c>
      <c r="E6">
        <v>1</v>
      </c>
    </row>
    <row r="7" spans="1:5" x14ac:dyDescent="0.2">
      <c r="A7">
        <v>16</v>
      </c>
      <c r="B7" t="s">
        <v>73</v>
      </c>
      <c r="C7" t="s">
        <v>89</v>
      </c>
      <c r="D7" t="s">
        <v>84</v>
      </c>
      <c r="E7">
        <v>1</v>
      </c>
    </row>
    <row r="8" spans="1:5" x14ac:dyDescent="0.2">
      <c r="A8">
        <v>28</v>
      </c>
      <c r="B8" t="s">
        <v>75</v>
      </c>
      <c r="C8" t="s">
        <v>92</v>
      </c>
      <c r="D8" t="s">
        <v>84</v>
      </c>
      <c r="E8">
        <v>1</v>
      </c>
    </row>
    <row r="9" spans="1:5" x14ac:dyDescent="0.2">
      <c r="A9">
        <v>29</v>
      </c>
      <c r="B9" t="s">
        <v>78</v>
      </c>
      <c r="C9" t="s">
        <v>92</v>
      </c>
      <c r="D9" t="s">
        <v>84</v>
      </c>
      <c r="E9">
        <v>1</v>
      </c>
    </row>
    <row r="10" spans="1:5" x14ac:dyDescent="0.2">
      <c r="A10">
        <v>30</v>
      </c>
      <c r="B10" t="s">
        <v>67</v>
      </c>
      <c r="C10" t="s">
        <v>92</v>
      </c>
      <c r="D10" t="s">
        <v>84</v>
      </c>
      <c r="E10">
        <v>1</v>
      </c>
    </row>
    <row r="11" spans="1:5" x14ac:dyDescent="0.2">
      <c r="A11">
        <v>31</v>
      </c>
      <c r="B11" t="s">
        <v>87</v>
      </c>
      <c r="C11" t="s">
        <v>92</v>
      </c>
      <c r="D11" t="s">
        <v>115</v>
      </c>
      <c r="E11">
        <v>1</v>
      </c>
    </row>
    <row r="12" spans="1:5" x14ac:dyDescent="0.2">
      <c r="A12">
        <v>32</v>
      </c>
      <c r="B12" t="s">
        <v>93</v>
      </c>
      <c r="C12" t="s">
        <v>92</v>
      </c>
      <c r="D12" t="s">
        <v>115</v>
      </c>
      <c r="E12">
        <v>1</v>
      </c>
    </row>
    <row r="13" spans="1:5" x14ac:dyDescent="0.2">
      <c r="A13">
        <v>52</v>
      </c>
      <c r="B13" t="s">
        <v>114</v>
      </c>
      <c r="C13" t="s">
        <v>92</v>
      </c>
      <c r="D13" t="s">
        <v>115</v>
      </c>
      <c r="E13">
        <v>1</v>
      </c>
    </row>
    <row r="14" spans="1:5" x14ac:dyDescent="0.2">
      <c r="A14">
        <v>1</v>
      </c>
      <c r="B14" t="s">
        <v>84</v>
      </c>
      <c r="C14" t="s">
        <v>83</v>
      </c>
      <c r="D14" t="s">
        <v>84</v>
      </c>
      <c r="E14">
        <v>2</v>
      </c>
    </row>
    <row r="15" spans="1:5" x14ac:dyDescent="0.2">
      <c r="A15">
        <v>2</v>
      </c>
      <c r="B15" t="s">
        <v>63</v>
      </c>
      <c r="C15" t="s">
        <v>83</v>
      </c>
      <c r="D15" t="s">
        <v>84</v>
      </c>
      <c r="E15">
        <v>2</v>
      </c>
    </row>
    <row r="16" spans="1:5" x14ac:dyDescent="0.2">
      <c r="A16">
        <v>3</v>
      </c>
      <c r="B16" t="s">
        <v>76</v>
      </c>
      <c r="C16" t="s">
        <v>83</v>
      </c>
      <c r="D16" t="s">
        <v>84</v>
      </c>
      <c r="E16">
        <v>2</v>
      </c>
    </row>
    <row r="17" spans="1:5" x14ac:dyDescent="0.2">
      <c r="A17">
        <v>4</v>
      </c>
      <c r="B17" t="s">
        <v>71</v>
      </c>
      <c r="C17" t="s">
        <v>83</v>
      </c>
      <c r="D17" t="s">
        <v>84</v>
      </c>
      <c r="E17">
        <v>2</v>
      </c>
    </row>
    <row r="18" spans="1:5" x14ac:dyDescent="0.2">
      <c r="A18">
        <v>5</v>
      </c>
      <c r="B18" t="s">
        <v>68</v>
      </c>
      <c r="C18" t="s">
        <v>83</v>
      </c>
      <c r="D18" t="s">
        <v>84</v>
      </c>
      <c r="E18">
        <v>2</v>
      </c>
    </row>
    <row r="19" spans="1:5" x14ac:dyDescent="0.2">
      <c r="A19">
        <v>17</v>
      </c>
      <c r="B19" t="s">
        <v>54</v>
      </c>
      <c r="C19" t="s">
        <v>90</v>
      </c>
      <c r="D19" t="s">
        <v>84</v>
      </c>
      <c r="E19">
        <v>3</v>
      </c>
    </row>
    <row r="20" spans="1:5" x14ac:dyDescent="0.2">
      <c r="A20">
        <v>18</v>
      </c>
      <c r="B20" t="s">
        <v>53</v>
      </c>
      <c r="C20" t="s">
        <v>90</v>
      </c>
      <c r="D20" t="s">
        <v>84</v>
      </c>
      <c r="E20">
        <v>3</v>
      </c>
    </row>
    <row r="21" spans="1:5" x14ac:dyDescent="0.2">
      <c r="A21">
        <v>19</v>
      </c>
      <c r="B21" t="s">
        <v>59</v>
      </c>
      <c r="C21" t="s">
        <v>90</v>
      </c>
      <c r="D21" t="s">
        <v>84</v>
      </c>
      <c r="E21">
        <v>3</v>
      </c>
    </row>
    <row r="22" spans="1:5" x14ac:dyDescent="0.2">
      <c r="A22">
        <v>20</v>
      </c>
      <c r="B22" t="s">
        <v>64</v>
      </c>
      <c r="C22" t="s">
        <v>90</v>
      </c>
      <c r="D22" t="s">
        <v>84</v>
      </c>
      <c r="E22">
        <v>3</v>
      </c>
    </row>
    <row r="23" spans="1:5" x14ac:dyDescent="0.2">
      <c r="A23">
        <v>21</v>
      </c>
      <c r="B23" t="s">
        <v>65</v>
      </c>
      <c r="C23" t="s">
        <v>90</v>
      </c>
      <c r="D23" t="s">
        <v>84</v>
      </c>
      <c r="E23">
        <v>3</v>
      </c>
    </row>
    <row r="24" spans="1:5" x14ac:dyDescent="0.2">
      <c r="A24">
        <v>6</v>
      </c>
      <c r="B24" t="s">
        <v>69</v>
      </c>
      <c r="C24" t="s">
        <v>85</v>
      </c>
      <c r="D24" t="s">
        <v>84</v>
      </c>
      <c r="E24">
        <v>3</v>
      </c>
    </row>
    <row r="25" spans="1:5" x14ac:dyDescent="0.2">
      <c r="A25">
        <v>7</v>
      </c>
      <c r="B25" t="s">
        <v>62</v>
      </c>
      <c r="C25" t="s">
        <v>85</v>
      </c>
      <c r="D25" t="s">
        <v>84</v>
      </c>
      <c r="E25">
        <v>3</v>
      </c>
    </row>
    <row r="26" spans="1:5" x14ac:dyDescent="0.2">
      <c r="A26">
        <v>8</v>
      </c>
      <c r="B26" t="s">
        <v>66</v>
      </c>
      <c r="C26" t="s">
        <v>85</v>
      </c>
      <c r="D26" t="s">
        <v>84</v>
      </c>
      <c r="E26">
        <v>3</v>
      </c>
    </row>
    <row r="27" spans="1:5" x14ac:dyDescent="0.2">
      <c r="A27">
        <v>9</v>
      </c>
      <c r="B27" t="s">
        <v>57</v>
      </c>
      <c r="C27" t="s">
        <v>85</v>
      </c>
      <c r="D27" t="s">
        <v>84</v>
      </c>
      <c r="E27">
        <v>3</v>
      </c>
    </row>
    <row r="28" spans="1:5" x14ac:dyDescent="0.2">
      <c r="A28">
        <v>10</v>
      </c>
      <c r="B28" t="s">
        <v>56</v>
      </c>
      <c r="C28" t="s">
        <v>85</v>
      </c>
      <c r="D28" t="s">
        <v>84</v>
      </c>
      <c r="E28">
        <v>3</v>
      </c>
    </row>
    <row r="29" spans="1:5" x14ac:dyDescent="0.2">
      <c r="A29">
        <v>39</v>
      </c>
      <c r="B29" t="s">
        <v>99</v>
      </c>
      <c r="C29" t="s">
        <v>85</v>
      </c>
      <c r="D29" t="s">
        <v>113</v>
      </c>
      <c r="E29">
        <v>3</v>
      </c>
    </row>
    <row r="30" spans="1:5" x14ac:dyDescent="0.2">
      <c r="A30">
        <v>40</v>
      </c>
      <c r="B30" t="s">
        <v>100</v>
      </c>
      <c r="C30" t="s">
        <v>85</v>
      </c>
      <c r="D30" t="s">
        <v>113</v>
      </c>
      <c r="E30">
        <v>3</v>
      </c>
    </row>
    <row r="31" spans="1:5" x14ac:dyDescent="0.2">
      <c r="A31">
        <v>41</v>
      </c>
      <c r="B31" t="s">
        <v>101</v>
      </c>
      <c r="C31" t="s">
        <v>85</v>
      </c>
      <c r="D31" t="s">
        <v>113</v>
      </c>
      <c r="E31">
        <v>3</v>
      </c>
    </row>
    <row r="32" spans="1:5" x14ac:dyDescent="0.2">
      <c r="A32">
        <v>45</v>
      </c>
      <c r="B32" t="s">
        <v>105</v>
      </c>
      <c r="C32" t="s">
        <v>104</v>
      </c>
      <c r="D32" t="s">
        <v>107</v>
      </c>
      <c r="E32">
        <v>4</v>
      </c>
    </row>
    <row r="33" spans="1:5" x14ac:dyDescent="0.2">
      <c r="A33">
        <v>46</v>
      </c>
      <c r="B33" t="s">
        <v>106</v>
      </c>
      <c r="C33" t="s">
        <v>104</v>
      </c>
      <c r="D33" t="s">
        <v>107</v>
      </c>
      <c r="E33">
        <v>4</v>
      </c>
    </row>
    <row r="34" spans="1:5" x14ac:dyDescent="0.2">
      <c r="A34">
        <v>47</v>
      </c>
      <c r="B34" t="s">
        <v>107</v>
      </c>
      <c r="C34" t="s">
        <v>104</v>
      </c>
      <c r="D34" t="s">
        <v>107</v>
      </c>
      <c r="E34">
        <v>4</v>
      </c>
    </row>
    <row r="35" spans="1:5" x14ac:dyDescent="0.2">
      <c r="A35">
        <v>48</v>
      </c>
      <c r="B35" t="s">
        <v>108</v>
      </c>
      <c r="C35" t="s">
        <v>104</v>
      </c>
      <c r="D35" t="s">
        <v>107</v>
      </c>
      <c r="E35">
        <v>4</v>
      </c>
    </row>
    <row r="36" spans="1:5" x14ac:dyDescent="0.2">
      <c r="A36">
        <v>49</v>
      </c>
      <c r="B36" t="s">
        <v>109</v>
      </c>
      <c r="C36" t="s">
        <v>104</v>
      </c>
      <c r="D36" t="s">
        <v>107</v>
      </c>
      <c r="E36">
        <v>4</v>
      </c>
    </row>
    <row r="37" spans="1:5" x14ac:dyDescent="0.2">
      <c r="A37">
        <v>50</v>
      </c>
      <c r="B37" t="s">
        <v>110</v>
      </c>
      <c r="C37" t="s">
        <v>104</v>
      </c>
      <c r="D37" t="s">
        <v>98</v>
      </c>
      <c r="E37">
        <v>4</v>
      </c>
    </row>
    <row r="38" spans="1:5" x14ac:dyDescent="0.2">
      <c r="A38">
        <v>51</v>
      </c>
      <c r="B38" t="s">
        <v>111</v>
      </c>
      <c r="C38" t="s">
        <v>104</v>
      </c>
      <c r="D38" t="s">
        <v>98</v>
      </c>
      <c r="E38">
        <v>4</v>
      </c>
    </row>
    <row r="39" spans="1:5" x14ac:dyDescent="0.2">
      <c r="A39">
        <v>22</v>
      </c>
      <c r="B39" t="s">
        <v>60</v>
      </c>
      <c r="C39" t="s">
        <v>91</v>
      </c>
      <c r="D39" t="s">
        <v>84</v>
      </c>
      <c r="E39">
        <v>5</v>
      </c>
    </row>
    <row r="40" spans="1:5" x14ac:dyDescent="0.2">
      <c r="A40">
        <v>23</v>
      </c>
      <c r="B40" t="s">
        <v>72</v>
      </c>
      <c r="C40" t="s">
        <v>91</v>
      </c>
      <c r="D40" t="s">
        <v>84</v>
      </c>
      <c r="E40">
        <v>5</v>
      </c>
    </row>
    <row r="41" spans="1:5" x14ac:dyDescent="0.2">
      <c r="A41">
        <v>24</v>
      </c>
      <c r="B41" t="s">
        <v>80</v>
      </c>
      <c r="C41" t="s">
        <v>91</v>
      </c>
      <c r="D41" t="s">
        <v>84</v>
      </c>
      <c r="E41">
        <v>5</v>
      </c>
    </row>
    <row r="42" spans="1:5" x14ac:dyDescent="0.2">
      <c r="A42">
        <v>25</v>
      </c>
      <c r="B42" t="s">
        <v>61</v>
      </c>
      <c r="C42" t="s">
        <v>91</v>
      </c>
      <c r="D42" t="s">
        <v>84</v>
      </c>
      <c r="E42">
        <v>5</v>
      </c>
    </row>
    <row r="43" spans="1:5" x14ac:dyDescent="0.2">
      <c r="A43">
        <v>26</v>
      </c>
      <c r="B43" t="s">
        <v>74</v>
      </c>
      <c r="C43" t="s">
        <v>91</v>
      </c>
      <c r="D43" t="s">
        <v>84</v>
      </c>
      <c r="E43">
        <v>5</v>
      </c>
    </row>
    <row r="44" spans="1:5" x14ac:dyDescent="0.2">
      <c r="A44">
        <v>27</v>
      </c>
      <c r="B44" t="s">
        <v>77</v>
      </c>
      <c r="C44" t="s">
        <v>91</v>
      </c>
      <c r="D44" t="s">
        <v>84</v>
      </c>
      <c r="E44">
        <v>5</v>
      </c>
    </row>
    <row r="45" spans="1:5" x14ac:dyDescent="0.2">
      <c r="A45">
        <v>42</v>
      </c>
      <c r="B45" t="s">
        <v>88</v>
      </c>
      <c r="C45" t="s">
        <v>91</v>
      </c>
      <c r="D45" t="s">
        <v>116</v>
      </c>
      <c r="E45">
        <v>5</v>
      </c>
    </row>
    <row r="46" spans="1:5" x14ac:dyDescent="0.2">
      <c r="A46">
        <v>43</v>
      </c>
      <c r="B46" t="s">
        <v>103</v>
      </c>
      <c r="C46" t="s">
        <v>91</v>
      </c>
      <c r="D46" t="s">
        <v>116</v>
      </c>
      <c r="E46">
        <v>5</v>
      </c>
    </row>
    <row r="47" spans="1:5" x14ac:dyDescent="0.2">
      <c r="A47">
        <v>44</v>
      </c>
      <c r="B47" t="s">
        <v>102</v>
      </c>
      <c r="C47" t="s">
        <v>91</v>
      </c>
      <c r="D47" t="s">
        <v>116</v>
      </c>
      <c r="E47">
        <v>5</v>
      </c>
    </row>
    <row r="48" spans="1:5" x14ac:dyDescent="0.2">
      <c r="A48">
        <v>33</v>
      </c>
      <c r="B48" t="s">
        <v>70</v>
      </c>
      <c r="C48" t="s">
        <v>94</v>
      </c>
      <c r="D48" t="s">
        <v>84</v>
      </c>
      <c r="E48">
        <v>6</v>
      </c>
    </row>
    <row r="49" spans="1:5" x14ac:dyDescent="0.2">
      <c r="A49">
        <v>34</v>
      </c>
      <c r="B49" t="s">
        <v>51</v>
      </c>
      <c r="C49" t="s">
        <v>94</v>
      </c>
      <c r="D49" t="s">
        <v>84</v>
      </c>
      <c r="E49">
        <v>6</v>
      </c>
    </row>
    <row r="50" spans="1:5" x14ac:dyDescent="0.2">
      <c r="A50">
        <v>35</v>
      </c>
      <c r="B50" t="s">
        <v>95</v>
      </c>
      <c r="C50" t="s">
        <v>94</v>
      </c>
      <c r="D50" t="s">
        <v>116</v>
      </c>
      <c r="E50">
        <v>6</v>
      </c>
    </row>
    <row r="51" spans="1:5" x14ac:dyDescent="0.2">
      <c r="A51">
        <v>36</v>
      </c>
      <c r="B51" t="s">
        <v>96</v>
      </c>
      <c r="C51" t="s">
        <v>94</v>
      </c>
      <c r="D51" t="s">
        <v>98</v>
      </c>
      <c r="E51">
        <v>6</v>
      </c>
    </row>
    <row r="52" spans="1:5" x14ac:dyDescent="0.2">
      <c r="A52">
        <v>37</v>
      </c>
      <c r="B52" t="s">
        <v>97</v>
      </c>
      <c r="C52" t="s">
        <v>94</v>
      </c>
      <c r="D52" t="s">
        <v>98</v>
      </c>
      <c r="E52">
        <v>6</v>
      </c>
    </row>
    <row r="53" spans="1:5" x14ac:dyDescent="0.2">
      <c r="A53">
        <v>38</v>
      </c>
      <c r="B53" t="s">
        <v>98</v>
      </c>
      <c r="C53" t="s">
        <v>94</v>
      </c>
      <c r="D53" t="s">
        <v>98</v>
      </c>
      <c r="E53">
        <v>6</v>
      </c>
    </row>
  </sheetData>
  <autoFilter ref="A1:E53" xr:uid="{97928FBE-C0AC-6943-A527-3970063FE260}">
    <sortState xmlns:xlrd2="http://schemas.microsoft.com/office/spreadsheetml/2017/richdata2" ref="A2:E53">
      <sortCondition ref="E1:E53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 Dinámica</vt:lpstr>
      <vt:lpstr>Comuna por 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Bernardita Ortega</dc:creator>
  <cp:lastModifiedBy>Bernardita Ortega</cp:lastModifiedBy>
  <dcterms:created xsi:type="dcterms:W3CDTF">2026-02-02T11:49:13Z</dcterms:created>
  <dcterms:modified xsi:type="dcterms:W3CDTF">2026-02-03T19:14:40Z</dcterms:modified>
</cp:coreProperties>
</file>